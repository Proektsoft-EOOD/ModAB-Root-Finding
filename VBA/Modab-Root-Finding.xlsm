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oek\Documents\GitHub\ModAB-Root-Finding\VBA\"/>
    </mc:Choice>
  </mc:AlternateContent>
  <xr:revisionPtr revIDLastSave="0" documentId="13_ncr:1_{B2360D26-2099-426E-93DA-99E821B1F0D4}" xr6:coauthVersionLast="47" xr6:coauthVersionMax="47" xr10:uidLastSave="{00000000-0000-0000-0000-000000000000}"/>
  <bookViews>
    <workbookView xWindow="-110" yWindow="-110" windowWidth="19420" windowHeight="11020" xr2:uid="{834E8469-1E3D-42B7-B92F-D805D43E13D2}"/>
  </bookViews>
  <sheets>
    <sheet name="Sheet1" sheetId="1" r:id="rId1"/>
  </sheets>
  <functionGroups builtInGroupCount="19"/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5" i="1" l="1"/>
  <c r="D57" i="1"/>
  <c r="E8" i="1" a="1"/>
  <c r="E93" i="1" a="1"/>
  <c r="E6" i="1" a="1"/>
  <c r="E57" i="1" a="1"/>
  <c r="E61" i="1" a="1"/>
  <c r="E58" i="1" a="1"/>
  <c r="E8" i="1" l="1"/>
  <c r="E93" i="1"/>
  <c r="E6" i="1"/>
  <c r="E57" i="1"/>
  <c r="E61" i="1"/>
  <c r="A57" i="1"/>
  <c r="B57" i="1" s="1"/>
  <c r="E58" i="1"/>
  <c r="D65" i="1"/>
  <c r="C65" i="1"/>
  <c r="E56" i="1" a="1"/>
  <c r="E4" i="1" a="1"/>
  <c r="E23" i="1" a="1"/>
  <c r="E47" i="1" a="1"/>
  <c r="E90" i="1" a="1"/>
  <c r="E42" i="1" a="1"/>
  <c r="E87" i="1" a="1"/>
  <c r="E73" i="1" a="1"/>
  <c r="E75" i="1" a="1"/>
  <c r="E36" i="1" a="1"/>
  <c r="E21" i="1" a="1"/>
  <c r="E81" i="1" a="1"/>
  <c r="E18" i="1" a="1"/>
  <c r="E27" i="1" a="1"/>
  <c r="E79" i="1" a="1"/>
  <c r="E72" i="1" a="1"/>
  <c r="E74" i="1" a="1"/>
  <c r="E63" i="1" a="1"/>
  <c r="E40" i="1" a="1"/>
  <c r="E29" i="1" a="1"/>
  <c r="E48" i="1" a="1"/>
  <c r="E22" i="1" a="1"/>
  <c r="E30" i="1" a="1"/>
  <c r="E31" i="1" a="1"/>
  <c r="E60" i="1" a="1"/>
  <c r="E34" i="1" a="1"/>
  <c r="E51" i="1" a="1"/>
  <c r="E82" i="1" a="1"/>
  <c r="E77" i="1" a="1"/>
  <c r="E12" i="1" a="1"/>
  <c r="E46" i="1" a="1"/>
  <c r="E41" i="1" a="1"/>
  <c r="E85" i="1" a="1"/>
  <c r="E38" i="1" a="1"/>
  <c r="E71" i="1" a="1"/>
  <c r="E39" i="1" a="1"/>
  <c r="E52" i="1" a="1"/>
  <c r="E84" i="1" a="1"/>
  <c r="E20" i="1" a="1"/>
  <c r="E95" i="1" a="1"/>
  <c r="E53" i="1" a="1"/>
  <c r="E19" i="1" a="1"/>
  <c r="E78" i="1" a="1"/>
  <c r="E32" i="1" a="1"/>
  <c r="E35" i="1" a="1"/>
  <c r="E80" i="1" a="1"/>
  <c r="E62" i="1" a="1"/>
  <c r="E83" i="1" a="1"/>
  <c r="E59" i="1" a="1"/>
  <c r="E67" i="1" a="1"/>
  <c r="E16" i="1" a="1"/>
  <c r="E55" i="1" a="1"/>
  <c r="E54" i="1" a="1"/>
  <c r="E7" i="1" a="1"/>
  <c r="E13" i="1" a="1"/>
  <c r="E68" i="1" a="1"/>
  <c r="E26" i="1" a="1"/>
  <c r="E76" i="1" a="1"/>
  <c r="E69" i="1" a="1"/>
  <c r="E44" i="1" a="1"/>
  <c r="E70" i="1" a="1"/>
  <c r="E66" i="1" a="1"/>
  <c r="E14" i="1" a="1"/>
  <c r="E11" i="1" a="1"/>
  <c r="E37" i="1" a="1"/>
  <c r="E43" i="1" a="1"/>
  <c r="E88" i="1" a="1"/>
  <c r="E17" i="1" a="1"/>
  <c r="E49" i="1" a="1"/>
  <c r="E24" i="1" a="1"/>
  <c r="E50" i="1" a="1"/>
  <c r="E45" i="1" a="1"/>
  <c r="E89" i="1" a="1"/>
  <c r="E86" i="1" a="1"/>
  <c r="E64" i="1" a="1"/>
  <c r="E65" i="1" a="1"/>
  <c r="E25" i="1" a="1"/>
  <c r="E94" i="1" a="1"/>
  <c r="E28" i="1" a="1"/>
  <c r="E91" i="1" a="1"/>
  <c r="E10" i="1" a="1"/>
  <c r="E92" i="1" a="1"/>
  <c r="E33" i="1" a="1"/>
  <c r="E9" i="1" a="1"/>
  <c r="E15" i="1" a="1"/>
  <c r="E5" i="1" a="1"/>
  <c r="E56" i="1" l="1"/>
  <c r="E4" i="1"/>
  <c r="E5" i="1"/>
  <c r="A5" i="1" s="1"/>
  <c r="B5" i="1" s="1"/>
  <c r="E38" i="1"/>
  <c r="A38" i="1" s="1"/>
  <c r="B38" i="1" s="1"/>
  <c r="E22" i="1"/>
  <c r="A22" i="1" s="1"/>
  <c r="B22" i="1" s="1"/>
  <c r="E18" i="1"/>
  <c r="A18" i="1" s="1"/>
  <c r="B18" i="1" s="1"/>
  <c r="E14" i="1"/>
  <c r="E10" i="1"/>
  <c r="E30" i="1"/>
  <c r="E29" i="1"/>
  <c r="E21" i="1"/>
  <c r="E9" i="1"/>
  <c r="A9" i="1" s="1"/>
  <c r="B9" i="1" s="1"/>
  <c r="E40" i="1"/>
  <c r="A40" i="1" s="1"/>
  <c r="B40" i="1" s="1"/>
  <c r="E36" i="1"/>
  <c r="A36" i="1" s="1"/>
  <c r="B36" i="1" s="1"/>
  <c r="E32" i="1"/>
  <c r="A32" i="1" s="1"/>
  <c r="B32" i="1" s="1"/>
  <c r="E28" i="1"/>
  <c r="A28" i="1" s="1"/>
  <c r="B28" i="1" s="1"/>
  <c r="E24" i="1"/>
  <c r="E20" i="1"/>
  <c r="A20" i="1" s="1"/>
  <c r="B20" i="1" s="1"/>
  <c r="E16" i="1"/>
  <c r="A16" i="1" s="1"/>
  <c r="B16" i="1" s="1"/>
  <c r="E12" i="1"/>
  <c r="A12" i="1" s="1"/>
  <c r="B12" i="1" s="1"/>
  <c r="A8" i="1"/>
  <c r="B8" i="1" s="1"/>
  <c r="E26" i="1"/>
  <c r="A26" i="1" s="1"/>
  <c r="B26" i="1" s="1"/>
  <c r="E33" i="1"/>
  <c r="E25" i="1"/>
  <c r="A25" i="1" s="1"/>
  <c r="B25" i="1" s="1"/>
  <c r="E17" i="1"/>
  <c r="E34" i="1"/>
  <c r="E37" i="1"/>
  <c r="A37" i="1" s="1"/>
  <c r="B37" i="1" s="1"/>
  <c r="E13" i="1"/>
  <c r="A13" i="1" s="1"/>
  <c r="B13" i="1" s="1"/>
  <c r="E39" i="1"/>
  <c r="A39" i="1" s="1"/>
  <c r="B39" i="1" s="1"/>
  <c r="E35" i="1"/>
  <c r="A35" i="1" s="1"/>
  <c r="B35" i="1" s="1"/>
  <c r="E31" i="1"/>
  <c r="A31" i="1" s="1"/>
  <c r="B31" i="1" s="1"/>
  <c r="E27" i="1"/>
  <c r="A27" i="1" s="1"/>
  <c r="B27" i="1" s="1"/>
  <c r="E23" i="1"/>
  <c r="E19" i="1"/>
  <c r="E15" i="1"/>
  <c r="A15" i="1" s="1"/>
  <c r="B15" i="1" s="1"/>
  <c r="E11" i="1"/>
  <c r="A11" i="1" s="1"/>
  <c r="B11" i="1" s="1"/>
  <c r="E7" i="1"/>
  <c r="A93" i="1"/>
  <c r="B93" i="1" s="1"/>
  <c r="E88" i="1"/>
  <c r="A88" i="1" s="1"/>
  <c r="B88" i="1" s="1"/>
  <c r="E80" i="1"/>
  <c r="A80" i="1" s="1"/>
  <c r="B80" i="1" s="1"/>
  <c r="E64" i="1"/>
  <c r="A64" i="1" s="1"/>
  <c r="B64" i="1" s="1"/>
  <c r="E52" i="1"/>
  <c r="A52" i="1" s="1"/>
  <c r="B52" i="1" s="1"/>
  <c r="A7" i="1"/>
  <c r="B7" i="1" s="1"/>
  <c r="E72" i="1"/>
  <c r="A72" i="1" s="1"/>
  <c r="B72" i="1" s="1"/>
  <c r="E92" i="1"/>
  <c r="A92" i="1" s="1"/>
  <c r="B92" i="1" s="1"/>
  <c r="E84" i="1"/>
  <c r="A84" i="1" s="1"/>
  <c r="B84" i="1" s="1"/>
  <c r="E76" i="1"/>
  <c r="A76" i="1" s="1"/>
  <c r="B76" i="1" s="1"/>
  <c r="E68" i="1"/>
  <c r="A68" i="1" s="1"/>
  <c r="B68" i="1" s="1"/>
  <c r="E60" i="1"/>
  <c r="A60" i="1" s="1"/>
  <c r="B60" i="1" s="1"/>
  <c r="A56" i="1"/>
  <c r="B56" i="1" s="1"/>
  <c r="E48" i="1"/>
  <c r="A48" i="1" s="1"/>
  <c r="B48" i="1" s="1"/>
  <c r="E44" i="1"/>
  <c r="A44" i="1" s="1"/>
  <c r="B44" i="1" s="1"/>
  <c r="A24" i="1"/>
  <c r="B24" i="1" s="1"/>
  <c r="E95" i="1"/>
  <c r="A95" i="1" s="1"/>
  <c r="B95" i="1" s="1"/>
  <c r="E91" i="1"/>
  <c r="A91" i="1" s="1"/>
  <c r="B91" i="1" s="1"/>
  <c r="E87" i="1"/>
  <c r="A87" i="1" s="1"/>
  <c r="B87" i="1" s="1"/>
  <c r="E83" i="1"/>
  <c r="A83" i="1" s="1"/>
  <c r="B83" i="1" s="1"/>
  <c r="E79" i="1"/>
  <c r="A79" i="1" s="1"/>
  <c r="B79" i="1" s="1"/>
  <c r="E75" i="1"/>
  <c r="A75" i="1" s="1"/>
  <c r="B75" i="1" s="1"/>
  <c r="E71" i="1"/>
  <c r="A71" i="1" s="1"/>
  <c r="B71" i="1" s="1"/>
  <c r="E67" i="1"/>
  <c r="A67" i="1" s="1"/>
  <c r="B67" i="1" s="1"/>
  <c r="E63" i="1"/>
  <c r="A63" i="1" s="1"/>
  <c r="B63" i="1" s="1"/>
  <c r="E59" i="1"/>
  <c r="A59" i="1" s="1"/>
  <c r="B59" i="1" s="1"/>
  <c r="E55" i="1"/>
  <c r="A55" i="1" s="1"/>
  <c r="B55" i="1" s="1"/>
  <c r="E51" i="1"/>
  <c r="A51" i="1" s="1"/>
  <c r="B51" i="1" s="1"/>
  <c r="E47" i="1"/>
  <c r="A47" i="1" s="1"/>
  <c r="B47" i="1" s="1"/>
  <c r="E43" i="1"/>
  <c r="A43" i="1" s="1"/>
  <c r="B43" i="1" s="1"/>
  <c r="A23" i="1"/>
  <c r="B23" i="1" s="1"/>
  <c r="A19" i="1"/>
  <c r="B19" i="1" s="1"/>
  <c r="E94" i="1"/>
  <c r="A94" i="1" s="1"/>
  <c r="B94" i="1" s="1"/>
  <c r="E90" i="1"/>
  <c r="A90" i="1" s="1"/>
  <c r="B90" i="1" s="1"/>
  <c r="E86" i="1"/>
  <c r="A86" i="1" s="1"/>
  <c r="B86" i="1" s="1"/>
  <c r="E82" i="1"/>
  <c r="A82" i="1" s="1"/>
  <c r="B82" i="1" s="1"/>
  <c r="E78" i="1"/>
  <c r="A78" i="1" s="1"/>
  <c r="B78" i="1" s="1"/>
  <c r="E74" i="1"/>
  <c r="A74" i="1" s="1"/>
  <c r="B74" i="1" s="1"/>
  <c r="E70" i="1"/>
  <c r="A70" i="1" s="1"/>
  <c r="B70" i="1" s="1"/>
  <c r="E66" i="1"/>
  <c r="A66" i="1" s="1"/>
  <c r="B66" i="1" s="1"/>
  <c r="E62" i="1"/>
  <c r="A62" i="1" s="1"/>
  <c r="B62" i="1" s="1"/>
  <c r="A58" i="1"/>
  <c r="B58" i="1" s="1"/>
  <c r="E54" i="1"/>
  <c r="A54" i="1" s="1"/>
  <c r="B54" i="1" s="1"/>
  <c r="E50" i="1"/>
  <c r="A50" i="1" s="1"/>
  <c r="B50" i="1" s="1"/>
  <c r="E46" i="1"/>
  <c r="A46" i="1" s="1"/>
  <c r="B46" i="1" s="1"/>
  <c r="E42" i="1"/>
  <c r="A42" i="1" s="1"/>
  <c r="B42" i="1" s="1"/>
  <c r="A34" i="1"/>
  <c r="B34" i="1" s="1"/>
  <c r="A30" i="1"/>
  <c r="B30" i="1" s="1"/>
  <c r="A14" i="1"/>
  <c r="B14" i="1" s="1"/>
  <c r="A10" i="1"/>
  <c r="B10" i="1" s="1"/>
  <c r="A6" i="1"/>
  <c r="B6" i="1" s="1"/>
  <c r="E89" i="1"/>
  <c r="A89" i="1" s="1"/>
  <c r="B89" i="1" s="1"/>
  <c r="E85" i="1"/>
  <c r="A85" i="1" s="1"/>
  <c r="B85" i="1" s="1"/>
  <c r="E81" i="1"/>
  <c r="A81" i="1" s="1"/>
  <c r="B81" i="1" s="1"/>
  <c r="E77" i="1"/>
  <c r="A77" i="1" s="1"/>
  <c r="B77" i="1" s="1"/>
  <c r="E73" i="1"/>
  <c r="A73" i="1" s="1"/>
  <c r="B73" i="1" s="1"/>
  <c r="E69" i="1"/>
  <c r="A69" i="1" s="1"/>
  <c r="B69" i="1" s="1"/>
  <c r="E65" i="1"/>
  <c r="A65" i="1" s="1"/>
  <c r="B65" i="1" s="1"/>
  <c r="A61" i="1"/>
  <c r="B61" i="1" s="1"/>
  <c r="E53" i="1"/>
  <c r="A53" i="1" s="1"/>
  <c r="B53" i="1" s="1"/>
  <c r="E49" i="1"/>
  <c r="A49" i="1" s="1"/>
  <c r="B49" i="1" s="1"/>
  <c r="E45" i="1"/>
  <c r="A45" i="1" s="1"/>
  <c r="B45" i="1" s="1"/>
  <c r="E41" i="1"/>
  <c r="A41" i="1" s="1"/>
  <c r="B41" i="1" s="1"/>
  <c r="A33" i="1"/>
  <c r="B33" i="1" s="1"/>
  <c r="A29" i="1"/>
  <c r="B29" i="1" s="1"/>
  <c r="A21" i="1"/>
  <c r="B21" i="1" s="1"/>
  <c r="A17" i="1"/>
  <c r="B17" i="1" s="1"/>
  <c r="A4" i="1"/>
  <c r="B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<sst xmlns="http://schemas.openxmlformats.org/spreadsheetml/2006/main" count="100" uniqueCount="100">
  <si>
    <t>ModAB Root Finder in VBA for Excel</t>
  </si>
  <si>
    <t>x</t>
  </si>
  <si>
    <t>f(x)</t>
  </si>
  <si>
    <t>a</t>
  </si>
  <si>
    <t>b</t>
  </si>
  <si>
    <t>root</t>
  </si>
  <si>
    <t>f01(x) = x^3 - 1</t>
  </si>
  <si>
    <t>f02(x) = x^2 * (x^2 / 3 + sqrt(2) * sin(x)) - sqrt(3) / 18</t>
  </si>
  <si>
    <t>f03(x) = 11 * x^11 - 1</t>
  </si>
  <si>
    <t>f04(x) = x^3 + 1</t>
  </si>
  <si>
    <t>f05(x) = x^3 - 2 * x - 5</t>
  </si>
  <si>
    <t>f06(x) = 2 * x * exp(-5) + 1 - 2 * exp(-5 * x)</t>
  </si>
  <si>
    <t>f07(x) = 2 * x * exp(-10) + 1 - 2 * exp(-10 * x)</t>
  </si>
  <si>
    <t>f08(x) = 2 * x * exp(-20) + 1 - 2 * exp(-20 * x)</t>
  </si>
  <si>
    <t>f09(x) = (1 + (1 - 5)^2) * x^2 - (1 - 5 * x)^2</t>
  </si>
  <si>
    <t>f10(x) = (1 + (1 - 10)^2) * x^2 - (1 - 10 * x)^2</t>
  </si>
  <si>
    <t>f11(x) = (1 + (1 - 20)^2) * x^2 - (1 - 20 * x)^2</t>
  </si>
  <si>
    <t>f12(x) = x^2 - (1 - x)^5</t>
  </si>
  <si>
    <t>f13(x) = x^2 - (1 - x)^10</t>
  </si>
  <si>
    <t>f14(x) = x^2 - (1 - x)^20</t>
  </si>
  <si>
    <t>f15(x) = (1 + (1 - 5)^4) * x - (1 - 5 * x)^4</t>
  </si>
  <si>
    <t>f16(x) = (1 + (1 - 10)^4) * x - (1 - 10 * x)^4</t>
  </si>
  <si>
    <t>f17(x) = (1 + (1 - 20)^4) * x - (1 - 20 * x)^4</t>
  </si>
  <si>
    <t>f18(x) = exp(-5 * x) * (x - 1) + x^5</t>
  </si>
  <si>
    <t>f19(x) = exp(-10 * x) * (x - 1) + x^10</t>
  </si>
  <si>
    <t>f20(x) = exp(-20 * x) * (x - 1) + x^20</t>
  </si>
  <si>
    <t>f21(x) = x^2 + sin(x / 5) - 1 / 4</t>
  </si>
  <si>
    <t>f22(x) = x^2 + sin(x / 10) - 1 / 4</t>
  </si>
  <si>
    <t>f23(x) = x^2 + sin(x / 20) - 1 / 4</t>
  </si>
  <si>
    <t>f24(x) = (x + 2) * (x + 1) * (x - 3)^3</t>
  </si>
  <si>
    <t>f25(x) = (x - 4)^5 * log(x)</t>
  </si>
  <si>
    <t>f26(x) = (sin(x) - x / 4)^3</t>
  </si>
  <si>
    <t>f27(x) = (81 - P(x) * (108 - P(x) * (54 - P(x) * (12 - P(x))))) * (1 if P(x) &lt; 3 else (-1 if P(x) &gt; 3 else 0))</t>
  </si>
  <si>
    <t>f28(x) = sin((x - 7.143)^3)</t>
  </si>
  <si>
    <t>f29(x) = exp((x - 3)^5) - 1</t>
  </si>
  <si>
    <t>f30(x) = exp((x - 3)^5) - exp(x - 1)</t>
  </si>
  <si>
    <t>f31(x) = pi - 1 / x</t>
  </si>
  <si>
    <t>f32(x) = 4 - tan(x)</t>
  </si>
  <si>
    <t>f33(x) = cos(x) - x^3</t>
  </si>
  <si>
    <t>f34(x) = cos(x) - x</t>
  </si>
  <si>
    <t>f35(x) = sqrt(abs(x - 2 / 3)) * (1 if x &lt;= 2 / 3 else -1) - 0.1</t>
  </si>
  <si>
    <t>f36(x) = abs(x - 2 / 3)^0.2 * (1 if x &lt;= 2 / 3 else -1)</t>
  </si>
  <si>
    <t>f37(x) = (x - 7 / 9)^3 + (x - 7 / 9) * 1e-3</t>
  </si>
  <si>
    <t>f38(x) = -0.5 if x &lt;= 1 / 3 else 0.5</t>
  </si>
  <si>
    <t>f39(x) = -1e-3 if x &lt;= 1 / 3 else 1 - 1e-3</t>
  </si>
  <si>
    <t>f40(x) = 0 if x == 0 else 1 / (x - 2 / 3)</t>
  </si>
  <si>
    <t>f41(x) = 2 * x * exp(-5) - 2 * exp(-5 * x) + 1</t>
  </si>
  <si>
    <t>f42(x) = (x^2 - x - 6) * (x^2 - 3 * x + 2)</t>
  </si>
  <si>
    <t>f43(x) = x^3</t>
  </si>
  <si>
    <t>f44(x) = x^5</t>
  </si>
  <si>
    <t>f45(x) = x^7</t>
  </si>
  <si>
    <t>f46(x) = (exp(-5 * x) - x - 0.5) / x^5</t>
  </si>
  <si>
    <t>f47(x) = 1 / sqrt(x) - 2 * log(5e3 * sqrt(x)) + 0.8</t>
  </si>
  <si>
    <t>f48(x) = 1 / sqrt(x) - 2 * log(5e7 * sqrt(x)) + 0.8</t>
  </si>
  <si>
    <t>f49(x) = (-x^3 - x - 1) if x &lt;= 0 else (x^(1 / 3) - x - 1)</t>
  </si>
  <si>
    <t>f50(x) = x^3 - 2 * x - x + 3</t>
  </si>
  <si>
    <t>f51(x) = log(x)</t>
  </si>
  <si>
    <t>f52(x) = (10 - x) * exp(-10 * x) - x^10 + 1</t>
  </si>
  <si>
    <t>f53(x) = exp(sin(x)) - x - 1</t>
  </si>
  <si>
    <t>f54(x) = 2 * sin(x) - 1</t>
  </si>
  <si>
    <t>f55(x) = (x - 1) * exp(-x)</t>
  </si>
  <si>
    <t>f56(x) = (x - 1)^3 - 1</t>
  </si>
  <si>
    <t>f57(x) = exp(x^2 + 7 * x - 30) - 1</t>
  </si>
  <si>
    <t>f58(x) = atan(x) - 1</t>
  </si>
  <si>
    <t>f59(x) = exp(x) - 2 * x - 1</t>
  </si>
  <si>
    <t>f60(x) = exp(-x) - x - sin(x)</t>
  </si>
  <si>
    <t>f61(x) = x^2 - sin(x)^2 - 1</t>
  </si>
  <si>
    <t>f62(x) = sin(x) - x / 2</t>
  </si>
  <si>
    <t>f63(x) = x * exp(x) - 1</t>
  </si>
  <si>
    <t>f64(x) = tan(x - 1 / 10)</t>
  </si>
  <si>
    <t>f65(x) = sin(x) + 0.5</t>
  </si>
  <si>
    <t>f66(x) = 4 * x^5 + x * x + 1</t>
  </si>
  <si>
    <t>f67(x) = x + x^10 - 1</t>
  </si>
  <si>
    <t>f68(x) = pi^x - e</t>
  </si>
  <si>
    <t>f69(x) = log(abs(x - 10 / 9))</t>
  </si>
  <si>
    <t>f70(x) = 1 / 3 + (1 if x &gt; 0 else (-1 if x &lt; 0 else 0)) * abs(x)^(1 / 3) + x^3</t>
  </si>
  <si>
    <t>f71(x) = (x + 2 / 3) / (x + 101 / 100)</t>
  </si>
  <si>
    <t>f72(x) = (x * 1e6 - 1)^3</t>
  </si>
  <si>
    <t>f73(x) = exp(x) * (x * 1e6 - 1)^3</t>
  </si>
  <si>
    <t>f74(x) = (x - 1 / 3)^2 * atan(x - 1 / 3)</t>
  </si>
  <si>
    <t>f75(x) = (1 if 3 * x - 1 &gt; 0 else (-1 if 3 * x - 1 &lt; 0 else 0)) * (1 - sqrt(1 - (3 * x - 1)^2 / 81))</t>
  </si>
  <si>
    <t>f76(x) = (1 + 1e6) / 1e6 if x &gt; (1 - 1e6) / 1e6 else -1</t>
  </si>
  <si>
    <t>f77(x) = 1 / (21 * x - 1) if x != 1 / 21 else 0</t>
  </si>
  <si>
    <t>f78(x) = x * x / 4 + ceil(x / 2) - 0.5</t>
  </si>
  <si>
    <t>f79(x) = ceil(10 * x - 1) + 0.5</t>
  </si>
  <si>
    <t>f80(x) = x + sin(x * 1e6) / 10 + 1e-3</t>
  </si>
  <si>
    <t>f81(x) = 1 + sin(1 / (x + 1)) if x &gt; -1 else -1</t>
  </si>
  <si>
    <t>f82(x) = 202 * x - 2 * floor((2 * x + 1e-2) / 2e-2) - 0.1</t>
  </si>
  <si>
    <t>f83(x) = (202 * x - 2 * floor((2 * x + 1e-2) / 2e-2) - 0.1)^3</t>
  </si>
  <si>
    <t>f84(x) = (x - 1) * (x - 2) * (x - 3) * (x - 4) * (x - 5) - 0.05</t>
  </si>
  <si>
    <t>f85(x) = sin(x) - 0.5 * x - 0.3</t>
  </si>
  <si>
    <t>f86(x) = exp(x) - 1 - x - x * x / 2 - 0.005</t>
  </si>
  <si>
    <t>f87(x) = 1 / (x - 0.5) - 2 - 0.05</t>
  </si>
  <si>
    <t>f88(x) = log(x) - x + 2 - 0.05</t>
  </si>
  <si>
    <t>f89(x) = sin(20 * x) + 0.1 * x - 0.1</t>
  </si>
  <si>
    <t>f90(x) = x^3 - 2 * x^2 + x - 0.025</t>
  </si>
  <si>
    <t>f91(x) = x * sin(1 / x) - 0.1 - 0.01</t>
  </si>
  <si>
    <t>f92(x) = x^3 - 0.001</t>
  </si>
  <si>
    <t>Usage: = find_root(x_cell, y_cell, a, b, [target], [xtol], [ytol], [maxiter])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</si>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</sst>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04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21CCB-3884-4FF0-877F-F038B9F5FF11}">
  <sheetPr codeName="Sheet1"/>
  <dimension ref="A1:L95"/>
  <sheetViews>
    <sheetView tabSelected="1" topLeftCell="A96" workbookViewId="0">
      <selection activeCell="E7" sqref="E7"/>
    </sheetView>
  </sheetViews>
  <sheetFormatPr defaultRowHeight="14.5" x14ac:dyDescent="0.35"/>
  <cols>
    <col min="2" max="2" width="10" customWidth="1"/>
    <col min="5" max="5" width="14.90625" customWidth="1"/>
  </cols>
  <sheetData>
    <row r="1" spans="1:6" ht="18.5" x14ac:dyDescent="0.45">
      <c r="A1" s="2" t="s">
        <v>0</v>
      </c>
    </row>
    <row r="2" spans="1:6" x14ac:dyDescent="0.35">
      <c r="A2" t="s">
        <v>98</v>
      </c>
      <c r="E2" s="1"/>
    </row>
    <row r="3" spans="1:6" x14ac:dyDescent="0.3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99</v>
      </c>
    </row>
    <row r="4" spans="1:6" x14ac:dyDescent="0.35">
      <c r="A4">
        <f>E4</f>
        <v>1</v>
      </c>
      <c r="B4" s="3">
        <f>A4^3 - 1</f>
        <v>0</v>
      </c>
      <c r="C4">
        <v>0.5</v>
      </c>
      <c r="D4">
        <v>1.5</v>
      </c>
      <c r="E4" cm="1">
        <f t="array" ref="E4">find_root(A4,B4,C4,D4)</f>
        <v>1</v>
      </c>
      <c r="F4" t="s">
        <v>6</v>
      </c>
    </row>
    <row r="5" spans="1:6" x14ac:dyDescent="0.35">
      <c r="A5">
        <f>E5</f>
        <v>0.39942229171096838</v>
      </c>
      <c r="B5" s="3">
        <f>A5^2 * (A5^2 / 3 + SQRT(2) * SIN(A5)) - SQRT(3) / 18</f>
        <v>1.6653345369377348E-16</v>
      </c>
      <c r="C5">
        <v>0.1</v>
      </c>
      <c r="D5">
        <v>1</v>
      </c>
      <c r="E5" cm="1">
        <f t="array" ref="E5">find_root(A5,B5,C5,D5)</f>
        <v>0.39942229171096838</v>
      </c>
      <c r="F5" t="s">
        <v>7</v>
      </c>
    </row>
    <row r="6" spans="1:6" x14ac:dyDescent="0.35">
      <c r="A6">
        <f t="shared" ref="A6:A69" si="0">E6</f>
        <v>0.80413309750366457</v>
      </c>
      <c r="B6" s="3">
        <f>11 * A6^11 - 1</f>
        <v>3.3306690738754696E-15</v>
      </c>
      <c r="C6">
        <v>0.1</v>
      </c>
      <c r="D6">
        <v>1</v>
      </c>
      <c r="E6" cm="1">
        <f t="array" ref="E6">find_root(A6,B6,C6,D6)</f>
        <v>0.80413309750366457</v>
      </c>
      <c r="F6" t="s">
        <v>8</v>
      </c>
    </row>
    <row r="7" spans="1:6" x14ac:dyDescent="0.35">
      <c r="A7">
        <f t="shared" si="0"/>
        <v>-0.99999999999999967</v>
      </c>
      <c r="B7" s="3">
        <f>A7^3 + 1</f>
        <v>9.9920072216264089E-16</v>
      </c>
      <c r="C7">
        <v>-1.8</v>
      </c>
      <c r="D7">
        <v>0</v>
      </c>
      <c r="E7" cm="1">
        <f t="array" ref="E7">find_root(A7,B7,C7,D7)</f>
        <v>-0.99999999999999967</v>
      </c>
      <c r="F7" t="s">
        <v>9</v>
      </c>
    </row>
    <row r="8" spans="1:6" x14ac:dyDescent="0.35">
      <c r="A8">
        <f t="shared" si="0"/>
        <v>2.0945514815423265</v>
      </c>
      <c r="B8" s="3">
        <f>A8^3 - 2 * A8 - 5</f>
        <v>0</v>
      </c>
      <c r="C8">
        <v>2</v>
      </c>
      <c r="D8">
        <v>3</v>
      </c>
      <c r="E8" cm="1">
        <f t="array" ref="E8">find_root(A8,B8,C8,D8)</f>
        <v>2.0945514815423265</v>
      </c>
      <c r="F8" t="s">
        <v>10</v>
      </c>
    </row>
    <row r="9" spans="1:6" x14ac:dyDescent="0.35">
      <c r="A9">
        <f t="shared" si="0"/>
        <v>0.13825715505682445</v>
      </c>
      <c r="B9" s="3">
        <f>2 * A9 * EXP(-5) + 1 - 2 * EXP(-5 * A9)</f>
        <v>1.7763568394002505E-15</v>
      </c>
      <c r="C9">
        <v>0</v>
      </c>
      <c r="D9">
        <v>1</v>
      </c>
      <c r="E9" cm="1">
        <f t="array" ref="E9">find_root(A9,B9,C9,D9)</f>
        <v>0.13825715505682445</v>
      </c>
      <c r="F9" t="s">
        <v>11</v>
      </c>
    </row>
    <row r="10" spans="1:6" x14ac:dyDescent="0.35">
      <c r="A10">
        <f t="shared" si="0"/>
        <v>6.931408868702342E-2</v>
      </c>
      <c r="B10" s="3">
        <f>2 * A10 * EXP(-10) + 1 - 2 * EXP(-10 * A10)</f>
        <v>0</v>
      </c>
      <c r="C10">
        <v>0</v>
      </c>
      <c r="D10">
        <v>1</v>
      </c>
      <c r="E10" cm="1">
        <f t="array" ref="E10">find_root(A10,B10,C10,D10)</f>
        <v>6.931408868702342E-2</v>
      </c>
      <c r="F10" t="s">
        <v>12</v>
      </c>
    </row>
    <row r="11" spans="1:6" x14ac:dyDescent="0.35">
      <c r="A11">
        <f t="shared" si="0"/>
        <v>3.4657359020853873E-2</v>
      </c>
      <c r="B11" s="3">
        <f>2 * A11 * EXP(-20) + 1 - 2 * EXP(-20 * A11)</f>
        <v>0</v>
      </c>
      <c r="C11">
        <v>0</v>
      </c>
      <c r="D11">
        <v>1</v>
      </c>
      <c r="E11" cm="1">
        <f t="array" ref="E11">find_root(A11,B11,C11,D11)</f>
        <v>3.4657359020853873E-2</v>
      </c>
      <c r="F11" t="s">
        <v>13</v>
      </c>
    </row>
    <row r="12" spans="1:6" x14ac:dyDescent="0.35">
      <c r="A12">
        <f t="shared" si="0"/>
        <v>0.10961179679779248</v>
      </c>
      <c r="B12" s="3">
        <f>(1 + (1 - 5)^2) * A12^2 - (1 - 5 * A12)^2</f>
        <v>4.9960036108132044E-16</v>
      </c>
      <c r="C12">
        <v>0</v>
      </c>
      <c r="D12">
        <v>1</v>
      </c>
      <c r="E12" cm="1">
        <f t="array" ref="E12">find_root(A12,B12,C12,D12)</f>
        <v>0.10961179679779248</v>
      </c>
      <c r="F12" t="s">
        <v>14</v>
      </c>
    </row>
    <row r="13" spans="1:6" x14ac:dyDescent="0.35">
      <c r="A13">
        <f t="shared" si="0"/>
        <v>5.2478603436810191E-2</v>
      </c>
      <c r="B13" s="3">
        <f>(1 + (1 - 10)^2) * A13^2 - (1 - 10 * A13)^2</f>
        <v>0</v>
      </c>
      <c r="C13">
        <v>0</v>
      </c>
      <c r="D13">
        <v>1</v>
      </c>
      <c r="E13" cm="1">
        <f t="array" ref="E13">find_root(A13,B13,C13,D13)</f>
        <v>5.2478603436810191E-2</v>
      </c>
      <c r="F13" t="s">
        <v>15</v>
      </c>
    </row>
    <row r="14" spans="1:6" x14ac:dyDescent="0.35">
      <c r="A14">
        <f t="shared" si="0"/>
        <v>2.5623747619988226E-2</v>
      </c>
      <c r="B14" s="3">
        <f>(1 + (1 - 20)^2) * A14^2 - (1 - 20 * A14)^2</f>
        <v>6.3837823915946501E-16</v>
      </c>
      <c r="C14">
        <v>0</v>
      </c>
      <c r="D14">
        <v>1</v>
      </c>
      <c r="E14" cm="1">
        <f t="array" ref="E14">find_root(A14,B14,C14,D14)</f>
        <v>2.5623747619988226E-2</v>
      </c>
      <c r="F14" t="s">
        <v>16</v>
      </c>
    </row>
    <row r="15" spans="1:6" x14ac:dyDescent="0.35">
      <c r="A15">
        <f t="shared" si="0"/>
        <v>0.34595481584824178</v>
      </c>
      <c r="B15" s="3">
        <f>A15^2 - (1 - A15)^5</f>
        <v>-4.4408920985006262E-16</v>
      </c>
      <c r="C15">
        <v>0</v>
      </c>
      <c r="D15">
        <v>1</v>
      </c>
      <c r="E15" cm="1">
        <f t="array" ref="E15">find_root(A15,B15,C15,D15)</f>
        <v>0.34595481584824178</v>
      </c>
      <c r="F15" t="s">
        <v>17</v>
      </c>
    </row>
    <row r="16" spans="1:6" x14ac:dyDescent="0.35">
      <c r="A16">
        <f t="shared" si="0"/>
        <v>0.24512233375330725</v>
      </c>
      <c r="B16" s="3">
        <f>A16^2 - (1 - A16)^10</f>
        <v>0</v>
      </c>
      <c r="C16">
        <v>0</v>
      </c>
      <c r="D16">
        <v>1</v>
      </c>
      <c r="E16" cm="1">
        <f t="array" ref="E16">find_root(A16,B16,C16,D16)</f>
        <v>0.24512233375330725</v>
      </c>
      <c r="F16" t="s">
        <v>18</v>
      </c>
    </row>
    <row r="17" spans="1:6" x14ac:dyDescent="0.35">
      <c r="A17">
        <f t="shared" si="0"/>
        <v>0.16492095727644121</v>
      </c>
      <c r="B17" s="3">
        <f>A17^2 - (1 - A17)^20</f>
        <v>2.2204460492503131E-16</v>
      </c>
      <c r="C17">
        <v>0</v>
      </c>
      <c r="D17">
        <v>1</v>
      </c>
      <c r="E17" cm="1">
        <f t="array" ref="E17">find_root(A17,B17,C17,D17)</f>
        <v>0.16492095727644121</v>
      </c>
      <c r="F17" t="s">
        <v>19</v>
      </c>
    </row>
    <row r="18" spans="1:6" x14ac:dyDescent="0.35">
      <c r="A18">
        <f t="shared" si="0"/>
        <v>3.6171081789040647E-3</v>
      </c>
      <c r="B18" s="3">
        <f>(1 + (1 - 5)^4) * A18 - (1 - 5 * A18)^4</f>
        <v>0</v>
      </c>
      <c r="C18">
        <v>0</v>
      </c>
      <c r="D18">
        <v>1</v>
      </c>
      <c r="E18" cm="1">
        <f t="array" ref="E18">find_root(A18,B18,C18,D18)</f>
        <v>3.6171081789040647E-3</v>
      </c>
      <c r="F18" t="s">
        <v>20</v>
      </c>
    </row>
    <row r="19" spans="1:6" x14ac:dyDescent="0.35">
      <c r="A19">
        <f t="shared" si="0"/>
        <v>1.5147133478389142E-4</v>
      </c>
      <c r="B19" s="3">
        <f>(1 + (1 - 10)^4) * A19 - (1 - 10 * A19)^4</f>
        <v>0</v>
      </c>
      <c r="C19">
        <v>0</v>
      </c>
      <c r="D19">
        <v>1</v>
      </c>
      <c r="E19" cm="1">
        <f t="array" ref="E19">find_root(A19,B19,C19,D19)</f>
        <v>1.5147133478389142E-4</v>
      </c>
      <c r="F19" t="s">
        <v>21</v>
      </c>
    </row>
    <row r="20" spans="1:6" x14ac:dyDescent="0.35">
      <c r="A20">
        <f t="shared" si="0"/>
        <v>7.6685951221853423E-6</v>
      </c>
      <c r="B20" s="3">
        <f>(1 + (1 - 20)^4) * A20 - (1 - 20 * A20)^4</f>
        <v>0</v>
      </c>
      <c r="C20">
        <v>0</v>
      </c>
      <c r="D20">
        <v>1</v>
      </c>
      <c r="E20" cm="1">
        <f t="array" ref="E20">find_root(A20,B20,C20,D20)</f>
        <v>7.6685951221853423E-6</v>
      </c>
      <c r="F20" t="s">
        <v>22</v>
      </c>
    </row>
    <row r="21" spans="1:6" x14ac:dyDescent="0.35">
      <c r="A21">
        <f t="shared" si="0"/>
        <v>0.51615351875793369</v>
      </c>
      <c r="B21" s="3">
        <f>EXP(-5 * A21) * (A21 - 1) + A21^5</f>
        <v>6.9388939039072284E-17</v>
      </c>
      <c r="C21">
        <v>0</v>
      </c>
      <c r="D21">
        <v>1</v>
      </c>
      <c r="E21" cm="1">
        <f t="array" ref="E21">find_root(A21,B21,C21,D21)</f>
        <v>0.51615351875793369</v>
      </c>
      <c r="F21" t="s">
        <v>23</v>
      </c>
    </row>
    <row r="22" spans="1:6" x14ac:dyDescent="0.35">
      <c r="A22">
        <f t="shared" si="0"/>
        <v>0.53952222690841567</v>
      </c>
      <c r="B22" s="3">
        <f>EXP(-10 * A22) * (A22 - 1) + A22^10</f>
        <v>-1.1709383462843448E-17</v>
      </c>
      <c r="C22">
        <v>0</v>
      </c>
      <c r="D22">
        <v>1</v>
      </c>
      <c r="E22" cm="1">
        <f t="array" ref="E22">find_root(A22,B22,C22,D22)</f>
        <v>0.53952222690841567</v>
      </c>
      <c r="F22" t="s">
        <v>24</v>
      </c>
    </row>
    <row r="23" spans="1:6" x14ac:dyDescent="0.35">
      <c r="A23">
        <f t="shared" si="0"/>
        <v>0.5527046666784875</v>
      </c>
      <c r="B23" s="3">
        <f>EXP(-20 * A23) * (A23 - 1) + A23^20</f>
        <v>-1.2366681029912785E-19</v>
      </c>
      <c r="C23">
        <v>0</v>
      </c>
      <c r="D23">
        <v>1</v>
      </c>
      <c r="E23" cm="1">
        <f t="array" ref="E23">find_root(A23,B23,C23,D23)</f>
        <v>0.5527046666784875</v>
      </c>
      <c r="F23" t="s">
        <v>25</v>
      </c>
    </row>
    <row r="24" spans="1:6" x14ac:dyDescent="0.35">
      <c r="A24">
        <f t="shared" si="0"/>
        <v>0.40999201798913676</v>
      </c>
      <c r="B24" s="3">
        <f>A24^2 + SIN(A24 / 5) - 1/4</f>
        <v>-3.8857805861880479E-16</v>
      </c>
      <c r="C24">
        <v>0</v>
      </c>
      <c r="D24">
        <v>1</v>
      </c>
      <c r="E24" cm="1">
        <f t="array" ref="E24">find_root(A24,B24,C24,D24)</f>
        <v>0.40999201798913676</v>
      </c>
      <c r="F24" t="s">
        <v>26</v>
      </c>
    </row>
    <row r="25" spans="1:6" x14ac:dyDescent="0.35">
      <c r="A25">
        <f t="shared" si="0"/>
        <v>0.45250914557764105</v>
      </c>
      <c r="B25" s="3">
        <f>A25^2 + SIN(A25 / 10) - 1/4</f>
        <v>0</v>
      </c>
      <c r="C25">
        <v>0</v>
      </c>
      <c r="D25">
        <v>1</v>
      </c>
      <c r="E25" cm="1">
        <f t="array" ref="E25">find_root(A25,B25,C25,D25)</f>
        <v>0.45250914557764105</v>
      </c>
      <c r="F25" t="s">
        <v>27</v>
      </c>
    </row>
    <row r="26" spans="1:6" x14ac:dyDescent="0.35">
      <c r="A26">
        <f t="shared" si="0"/>
        <v>0.47562684859606247</v>
      </c>
      <c r="B26" s="3">
        <f>A26^2 + SIN(A26 / 20) - 1/4</f>
        <v>0</v>
      </c>
      <c r="C26">
        <v>0</v>
      </c>
      <c r="D26">
        <v>1</v>
      </c>
      <c r="E26" cm="1">
        <f t="array" ref="E26">find_root(A26,B26,C26,D26)</f>
        <v>0.47562684859606247</v>
      </c>
      <c r="F26" t="s">
        <v>28</v>
      </c>
    </row>
    <row r="27" spans="1:6" x14ac:dyDescent="0.35">
      <c r="A27">
        <f t="shared" si="0"/>
        <v>2.9999999999999911</v>
      </c>
      <c r="B27" s="3">
        <f>(A27 + 2) * (A27 + 1) * (A27 - 3)^3</f>
        <v>-1.4012984643248117E-41</v>
      </c>
      <c r="C27">
        <v>2.6</v>
      </c>
      <c r="D27">
        <v>4.5999999999999996</v>
      </c>
      <c r="E27" cm="1">
        <f t="array" ref="E27">find_root(A27,B27,C27,D27)</f>
        <v>2.9999999999999911</v>
      </c>
      <c r="F27" t="s">
        <v>29</v>
      </c>
    </row>
    <row r="28" spans="1:6" x14ac:dyDescent="0.35">
      <c r="A28">
        <f t="shared" si="0"/>
        <v>3.9999999999999911</v>
      </c>
      <c r="B28" s="3">
        <f>(A28 - 4)^5 * LN(A28)</f>
        <v>-7.6622539325493271E-71</v>
      </c>
      <c r="C28">
        <v>3.6</v>
      </c>
      <c r="D28">
        <v>5.6</v>
      </c>
      <c r="E28" cm="1">
        <f t="array" ref="E28">find_root(A28,B28,C28,D28)</f>
        <v>3.9999999999999911</v>
      </c>
      <c r="F28" t="s">
        <v>30</v>
      </c>
    </row>
    <row r="29" spans="1:6" x14ac:dyDescent="0.35">
      <c r="A29">
        <f t="shared" si="0"/>
        <v>2.4745767873698199</v>
      </c>
      <c r="B29" s="3">
        <f>(SIN(A29) - A29 / 4)^3</f>
        <v>8.4040275332370926E-43</v>
      </c>
      <c r="C29">
        <v>2</v>
      </c>
      <c r="D29">
        <v>4</v>
      </c>
      <c r="E29" cm="1">
        <f t="array" ref="E29">find_root(A29,B29,C29,D29)</f>
        <v>2.4745767873698199</v>
      </c>
      <c r="F29" t="s">
        <v>31</v>
      </c>
    </row>
    <row r="30" spans="1:6" x14ac:dyDescent="0.35">
      <c r="A30">
        <f t="shared" si="0"/>
        <v>3</v>
      </c>
      <c r="B30" s="3">
        <f>(81 - A30 * (108 - A30 * (54 - A30 * (12 - A30)))) * IF(A30 &lt; 3, 1, IF(A30 &gt; 3, -1, 0))</f>
        <v>0</v>
      </c>
      <c r="C30">
        <v>1</v>
      </c>
      <c r="D30">
        <v>3</v>
      </c>
      <c r="E30" cm="1">
        <f t="array" ref="E30">find_root(A30,B30,C30,D30)</f>
        <v>3</v>
      </c>
      <c r="F30" t="s">
        <v>32</v>
      </c>
    </row>
    <row r="31" spans="1:6" x14ac:dyDescent="0.35">
      <c r="A31">
        <f t="shared" si="0"/>
        <v>7.1430000000000007</v>
      </c>
      <c r="B31" s="3">
        <f>SIN((A31 - 7.143)^3)</f>
        <v>7.0064923216240854E-46</v>
      </c>
      <c r="C31">
        <v>7</v>
      </c>
      <c r="D31">
        <v>8</v>
      </c>
      <c r="E31" cm="1">
        <f t="array" ref="E31">find_root(A31,B31,C31,D31)</f>
        <v>7.1430000000000007</v>
      </c>
      <c r="F31" t="s">
        <v>33</v>
      </c>
    </row>
    <row r="32" spans="1:6" x14ac:dyDescent="0.35">
      <c r="A32">
        <f t="shared" si="0"/>
        <v>3.0003906249999996</v>
      </c>
      <c r="B32" s="3">
        <f>EXP((A32 - 3)^5) - 1</f>
        <v>0</v>
      </c>
      <c r="C32">
        <v>2.6</v>
      </c>
      <c r="D32">
        <v>4.5999999999999996</v>
      </c>
      <c r="E32" cm="1">
        <f t="array" ref="E32">find_root(A32,B32,C32,D32)</f>
        <v>3.0003906249999996</v>
      </c>
      <c r="F32" t="s">
        <v>34</v>
      </c>
    </row>
    <row r="33" spans="1:12" x14ac:dyDescent="0.35">
      <c r="A33">
        <f t="shared" si="0"/>
        <v>4.2671683045421247</v>
      </c>
      <c r="B33" s="3">
        <f>EXP((A33 - 3)^5) - EXP(A33 - 1)</f>
        <v>1.1723955140041653E-13</v>
      </c>
      <c r="C33">
        <v>4</v>
      </c>
      <c r="D33">
        <v>5</v>
      </c>
      <c r="E33" cm="1">
        <f t="array" ref="E33">find_root(A33,B33,C33,D33)</f>
        <v>4.2671683045421247</v>
      </c>
      <c r="F33" t="s">
        <v>35</v>
      </c>
    </row>
    <row r="34" spans="1:12" x14ac:dyDescent="0.35">
      <c r="A34">
        <f t="shared" si="0"/>
        <v>0.3183098861837908</v>
      </c>
      <c r="B34" s="3">
        <f>PI() - 1 / A34</f>
        <v>0</v>
      </c>
      <c r="C34">
        <v>0.05</v>
      </c>
      <c r="D34">
        <v>5</v>
      </c>
      <c r="E34" cm="1">
        <f t="array" ref="E34">find_root(A34,B34,C34,D34)</f>
        <v>0.3183098861837908</v>
      </c>
      <c r="F34" t="s">
        <v>36</v>
      </c>
    </row>
    <row r="35" spans="1:12" x14ac:dyDescent="0.35">
      <c r="A35">
        <f t="shared" si="0"/>
        <v>1.3258176636680346</v>
      </c>
      <c r="B35" s="3">
        <f>4 - TAN(A35)</f>
        <v>-3.5527136788005009E-14</v>
      </c>
      <c r="C35">
        <v>0</v>
      </c>
      <c r="D35">
        <v>1.5</v>
      </c>
      <c r="E35" cm="1">
        <f t="array" ref="E35">find_root(A35,B35,C35,D35)</f>
        <v>1.3258176636680346</v>
      </c>
      <c r="F35" t="s">
        <v>37</v>
      </c>
    </row>
    <row r="36" spans="1:12" x14ac:dyDescent="0.35">
      <c r="A36">
        <f t="shared" si="0"/>
        <v>0.86547403310161419</v>
      </c>
      <c r="B36" s="3">
        <f>COS(A36) - A36^3</f>
        <v>0</v>
      </c>
      <c r="C36">
        <v>0</v>
      </c>
      <c r="D36">
        <v>4</v>
      </c>
      <c r="E36" cm="1">
        <f t="array" ref="E36">find_root(A36,B36,C36,D36)</f>
        <v>0.86547403310161419</v>
      </c>
      <c r="F36" t="s">
        <v>38</v>
      </c>
    </row>
    <row r="37" spans="1:12" x14ac:dyDescent="0.35">
      <c r="A37">
        <f t="shared" si="0"/>
        <v>0.73908513321516078</v>
      </c>
      <c r="B37" s="3">
        <f>COS(A37) - A37</f>
        <v>0</v>
      </c>
      <c r="C37">
        <v>-11</v>
      </c>
      <c r="D37">
        <v>9</v>
      </c>
      <c r="E37" cm="1">
        <f t="array" ref="E37">find_root(A37,B37,C37,D37)</f>
        <v>0.73908513321516078</v>
      </c>
      <c r="F37" t="s">
        <v>39</v>
      </c>
    </row>
    <row r="38" spans="1:12" x14ac:dyDescent="0.35">
      <c r="A38">
        <f t="shared" si="0"/>
        <v>0.6566666666666664</v>
      </c>
      <c r="B38" s="3">
        <f>SQRT(ABS(A38 - 2/3)) * IF(A38 &lt;= 2/3, 1, -1) - 0.1</f>
        <v>1.1518563880485999E-15</v>
      </c>
      <c r="C38">
        <v>-11</v>
      </c>
      <c r="D38">
        <v>9</v>
      </c>
      <c r="E38" cm="1">
        <f t="array" ref="E38">find_root(A38,B38,C38,D38)</f>
        <v>0.6566666666666664</v>
      </c>
      <c r="F38" t="s">
        <v>40</v>
      </c>
    </row>
    <row r="39" spans="1:12" x14ac:dyDescent="0.35">
      <c r="A39">
        <f t="shared" si="0"/>
        <v>0.66666666666666874</v>
      </c>
      <c r="B39" s="3">
        <f>ABS(A39 - 2/3)^0.2 * IF(A39 &lt;= 2/3, 1, -1)</f>
        <v>-1.1610014607296134E-3</v>
      </c>
      <c r="C39">
        <v>-11</v>
      </c>
      <c r="D39">
        <v>9</v>
      </c>
      <c r="E39" cm="1">
        <f t="array" ref="E39">find_root(A39,B39,C39,D39)</f>
        <v>0.66666666666666874</v>
      </c>
      <c r="F39" t="s">
        <v>41</v>
      </c>
    </row>
    <row r="40" spans="1:12" x14ac:dyDescent="0.35">
      <c r="A40">
        <f t="shared" si="0"/>
        <v>0.77777777777777768</v>
      </c>
      <c r="B40" s="3">
        <f>(A40 - 7/9)^3 + (A40 - 7/9) * 0.001</f>
        <v>-1.1102230246251566E-19</v>
      </c>
      <c r="C40">
        <v>-11</v>
      </c>
      <c r="D40">
        <v>9</v>
      </c>
      <c r="E40" cm="1">
        <f t="array" ref="E40">find_root(A40,B40,C40,D40)</f>
        <v>0.77777777777777768</v>
      </c>
      <c r="F40" t="s">
        <v>42</v>
      </c>
    </row>
    <row r="41" spans="1:12" x14ac:dyDescent="0.35">
      <c r="A41">
        <f t="shared" si="0"/>
        <v>0.33333333333333304</v>
      </c>
      <c r="B41" s="3">
        <f>IF(A41 &lt;= 1/3, -0.5, 0.5)</f>
        <v>-0.5</v>
      </c>
      <c r="C41">
        <v>-11</v>
      </c>
      <c r="D41">
        <v>9</v>
      </c>
      <c r="E41" cm="1">
        <f t="array" ref="E41">find_root(A41,B41,C41,D41)</f>
        <v>0.33333333333333304</v>
      </c>
      <c r="F41" t="s">
        <v>43</v>
      </c>
    </row>
    <row r="42" spans="1:12" x14ac:dyDescent="0.35">
      <c r="A42">
        <f t="shared" si="0"/>
        <v>0.33333333333333304</v>
      </c>
      <c r="B42" s="3">
        <f>IF(A42 &lt;= 1/3, -0.001, 1 - 0.001)</f>
        <v>-1E-3</v>
      </c>
      <c r="C42">
        <v>-11</v>
      </c>
      <c r="D42">
        <v>9</v>
      </c>
      <c r="E42" cm="1">
        <f t="array" ref="E42">find_root(A42,B42,C42,D42)</f>
        <v>0.33333333333333304</v>
      </c>
      <c r="F42" t="s">
        <v>44</v>
      </c>
      <c r="L42" s="3"/>
    </row>
    <row r="43" spans="1:12" x14ac:dyDescent="0.35">
      <c r="A43">
        <f t="shared" si="0"/>
        <v>0.66666666666666519</v>
      </c>
      <c r="B43" s="3">
        <f>IF(A43 = 0, 0, 1 / (A43 - 2/3))</f>
        <v>-692861481133922.5</v>
      </c>
      <c r="C43">
        <v>-11</v>
      </c>
      <c r="D43">
        <v>9</v>
      </c>
      <c r="E43" cm="1">
        <f t="array" ref="E43">find_root(A43,B43,C43,D43)</f>
        <v>0.66666666666666519</v>
      </c>
      <c r="F43" t="s">
        <v>45</v>
      </c>
    </row>
    <row r="44" spans="1:12" x14ac:dyDescent="0.35">
      <c r="A44">
        <f t="shared" si="0"/>
        <v>0.13825715505682362</v>
      </c>
      <c r="B44" s="3">
        <f>2 * A44 * EXP(-5) - 2 * EXP(-5 * A44) + 1</f>
        <v>-2.2204460492503131E-15</v>
      </c>
      <c r="C44">
        <v>0</v>
      </c>
      <c r="D44">
        <v>10</v>
      </c>
      <c r="E44" cm="1">
        <f t="array" ref="E44">find_root(A44,B44,C44,D44)</f>
        <v>0.13825715505682362</v>
      </c>
      <c r="F44" t="s">
        <v>46</v>
      </c>
    </row>
    <row r="45" spans="1:12" x14ac:dyDescent="0.35">
      <c r="A45">
        <f t="shared" si="0"/>
        <v>1.0000000000000022</v>
      </c>
      <c r="B45" s="3">
        <f>(A45^2 - A45 - 6) * (A45^2 - 3 * A45 + 2)</f>
        <v>1.3322676295501875E-14</v>
      </c>
      <c r="C45">
        <v>0</v>
      </c>
      <c r="D45">
        <f>PI()</f>
        <v>3.1415926535897931</v>
      </c>
      <c r="E45" cm="1">
        <f t="array" ref="E45">find_root(A45,B45,C45,D45)</f>
        <v>1.0000000000000022</v>
      </c>
      <c r="F45" t="s">
        <v>47</v>
      </c>
    </row>
    <row r="46" spans="1:12" x14ac:dyDescent="0.35">
      <c r="A46">
        <f t="shared" si="0"/>
        <v>8.8817841970012523E-16</v>
      </c>
      <c r="B46" s="3">
        <f>A46^3</f>
        <v>7.0064923216240854E-46</v>
      </c>
      <c r="C46">
        <v>-1</v>
      </c>
      <c r="D46">
        <v>1.5</v>
      </c>
      <c r="E46" cm="1">
        <f t="array" ref="E46">find_root(A46,B46,C46,D46)</f>
        <v>8.8817841970012523E-16</v>
      </c>
      <c r="F46" t="s">
        <v>48</v>
      </c>
    </row>
    <row r="47" spans="1:12" x14ac:dyDescent="0.35">
      <c r="A47">
        <f t="shared" si="0"/>
        <v>8.8817841970012523E-16</v>
      </c>
      <c r="B47" s="3">
        <f>A47^5</f>
        <v>5.5271478752604446E-76</v>
      </c>
      <c r="C47">
        <v>-1</v>
      </c>
      <c r="D47">
        <v>1.5</v>
      </c>
      <c r="E47" cm="1">
        <f t="array" ref="E47">find_root(A47,B47,C47,D47)</f>
        <v>8.8817841970012523E-16</v>
      </c>
      <c r="F47" t="s">
        <v>49</v>
      </c>
    </row>
    <row r="48" spans="1:12" x14ac:dyDescent="0.35">
      <c r="A48">
        <f t="shared" si="0"/>
        <v>8.8817841970012523E-16</v>
      </c>
      <c r="B48" s="3">
        <f>A48^7</f>
        <v>4.3601508761683463E-106</v>
      </c>
      <c r="C48">
        <v>-1</v>
      </c>
      <c r="D48">
        <v>1.5</v>
      </c>
      <c r="E48" cm="1">
        <f t="array" ref="E48">find_root(A48,B48,C48,D48)</f>
        <v>8.8817841970012523E-16</v>
      </c>
      <c r="F48" t="s">
        <v>50</v>
      </c>
    </row>
    <row r="49" spans="1:6" x14ac:dyDescent="0.35">
      <c r="A49">
        <f t="shared" si="0"/>
        <v>0.1016243922935494</v>
      </c>
      <c r="B49" s="3">
        <f>(EXP(-5 * A49) - A49 - 0.5) / A49^5</f>
        <v>5.1214203915803431E-11</v>
      </c>
      <c r="C49">
        <v>0.09</v>
      </c>
      <c r="D49">
        <v>0.7</v>
      </c>
      <c r="E49" cm="1">
        <f t="array" ref="E49">find_root(A49,B49,C49,D49)</f>
        <v>0.1016243922935494</v>
      </c>
      <c r="F49" t="s">
        <v>51</v>
      </c>
    </row>
    <row r="50" spans="1:6" x14ac:dyDescent="0.35">
      <c r="A50">
        <f t="shared" si="0"/>
        <v>7.7325232006128031E-3</v>
      </c>
      <c r="B50" s="3">
        <f>1 / SQRT(A50) - 2 * LN(5000 * SQRT(A50)) + 0.8</f>
        <v>-2.4424906541753444E-15</v>
      </c>
      <c r="C50">
        <v>5.0000000000000001E-4</v>
      </c>
      <c r="D50">
        <v>0.5</v>
      </c>
      <c r="E50" cm="1">
        <f t="array" ref="E50">find_root(A50,B50,C50,D50)</f>
        <v>7.7325232006128031E-3</v>
      </c>
      <c r="F50" t="s">
        <v>52</v>
      </c>
    </row>
    <row r="51" spans="1:6" x14ac:dyDescent="0.35">
      <c r="A51">
        <f t="shared" si="0"/>
        <v>1.2763049457355622E-3</v>
      </c>
      <c r="B51" s="3">
        <f>1 / SQRT(A51) - 2 * LN(50000000 * SQRT(A51)) + 0.8</f>
        <v>2.7755575615628914E-14</v>
      </c>
      <c r="C51">
        <v>5.0000000000000001E-4</v>
      </c>
      <c r="D51">
        <v>0.5</v>
      </c>
      <c r="E51" cm="1">
        <f t="array" ref="E51">find_root(A51,B51,C51,D51)</f>
        <v>1.2763049457355622E-3</v>
      </c>
      <c r="F51" t="s">
        <v>53</v>
      </c>
    </row>
    <row r="52" spans="1:6" x14ac:dyDescent="0.35">
      <c r="A52">
        <f t="shared" si="0"/>
        <v>-0.68232780382801905</v>
      </c>
      <c r="B52" s="3">
        <f>IF(A52 &lt;= 0, -(A52^3) - A52 - 1, A52^(1/3) - A52 - 1)</f>
        <v>-6.6613381477509392E-16</v>
      </c>
      <c r="C52">
        <v>-1</v>
      </c>
      <c r="D52">
        <v>1</v>
      </c>
      <c r="E52" cm="1">
        <f t="array" ref="E52">find_root(A52,B52,C52,D52)</f>
        <v>-0.68232780382801905</v>
      </c>
      <c r="F52" t="s">
        <v>54</v>
      </c>
    </row>
    <row r="53" spans="1:6" x14ac:dyDescent="0.35">
      <c r="A53">
        <f t="shared" si="0"/>
        <v>-2.1038034027355343</v>
      </c>
      <c r="B53" s="3">
        <f>A53^3 - 2 * A53 - A53 + 3</f>
        <v>2.3536728122053319E-14</v>
      </c>
      <c r="C53">
        <v>-3</v>
      </c>
      <c r="D53">
        <v>2</v>
      </c>
      <c r="E53" cm="1">
        <f t="array" ref="E53">find_root(A53,B53,C53,D53)</f>
        <v>-2.1038034027355343</v>
      </c>
      <c r="F53" t="s">
        <v>55</v>
      </c>
    </row>
    <row r="54" spans="1:6" x14ac:dyDescent="0.35">
      <c r="A54">
        <f t="shared" si="0"/>
        <v>1.0000000000000018</v>
      </c>
      <c r="B54" s="3">
        <f>LN(A54)</f>
        <v>1.7763568394002489E-15</v>
      </c>
      <c r="C54">
        <v>0.5</v>
      </c>
      <c r="D54">
        <v>5</v>
      </c>
      <c r="E54" cm="1">
        <f t="array" ref="E54">find_root(A54,B54,C54,D54)</f>
        <v>1.0000000000000018</v>
      </c>
      <c r="F54" t="s">
        <v>56</v>
      </c>
    </row>
    <row r="55" spans="1:6" x14ac:dyDescent="0.35">
      <c r="A55">
        <f t="shared" si="0"/>
        <v>1.0000408355647297</v>
      </c>
      <c r="B55" s="3">
        <f>(10 - A55) * EXP(-10 * A55) - A55^10 + 1</f>
        <v>-2.8421709430404007E-14</v>
      </c>
      <c r="C55">
        <v>0.5</v>
      </c>
      <c r="D55">
        <v>8</v>
      </c>
      <c r="E55" cm="1">
        <f t="array" ref="E55">find_root(A55,B55,C55,D55)</f>
        <v>1.0000408355647297</v>
      </c>
      <c r="F55" t="s">
        <v>57</v>
      </c>
    </row>
    <row r="56" spans="1:6" x14ac:dyDescent="0.35">
      <c r="A56">
        <f t="shared" si="0"/>
        <v>1.6968123868097529</v>
      </c>
      <c r="B56" s="3">
        <f>EXP(SIN(A56)) - A56 - 1</f>
        <v>-1.5543122344752192E-15</v>
      </c>
      <c r="C56">
        <v>1</v>
      </c>
      <c r="D56">
        <v>4</v>
      </c>
      <c r="E56" cm="1">
        <f t="array" ref="E56">find_root(A56,B56,C56,D56)</f>
        <v>1.6968123868097529</v>
      </c>
      <c r="F56" t="s">
        <v>58</v>
      </c>
    </row>
    <row r="57" spans="1:6" x14ac:dyDescent="0.35">
      <c r="A57">
        <f>E57</f>
        <v>0.52359877559829915</v>
      </c>
      <c r="B57" s="3">
        <f>2*SIN(A57) - 1</f>
        <v>0</v>
      </c>
      <c r="C57">
        <v>0.1</v>
      </c>
      <c r="D57">
        <f>PI()/ 3</f>
        <v>1.0471975511965976</v>
      </c>
      <c r="E57" cm="1">
        <f t="array" ref="E57">find_root(A57,B57,C57,D57)</f>
        <v>0.52359877559829915</v>
      </c>
      <c r="F57" t="s">
        <v>59</v>
      </c>
    </row>
    <row r="58" spans="1:6" x14ac:dyDescent="0.35">
      <c r="A58">
        <f>E58</f>
        <v>1.0000000000000004</v>
      </c>
      <c r="B58" s="3">
        <f>(A58 - 1) * EXP(-A58)</f>
        <v>1.6337129034990835E-16</v>
      </c>
      <c r="C58">
        <v>0</v>
      </c>
      <c r="D58">
        <v>1.5</v>
      </c>
      <c r="E58" cm="1">
        <f t="array" ref="E58">find_root(A58,B58,C58,D58)</f>
        <v>1.0000000000000004</v>
      </c>
      <c r="F58" t="s">
        <v>60</v>
      </c>
    </row>
    <row r="59" spans="1:6" x14ac:dyDescent="0.35">
      <c r="A59">
        <f t="shared" si="0"/>
        <v>1.9999999999999993</v>
      </c>
      <c r="B59" s="3">
        <f>(A59 - 1)^3 - 1</f>
        <v>-1.9984014443252818E-15</v>
      </c>
      <c r="C59">
        <v>1.5</v>
      </c>
      <c r="D59">
        <v>3</v>
      </c>
      <c r="E59" cm="1">
        <f t="array" ref="E59">find_root(A59,B59,C59,D59)</f>
        <v>1.9999999999999993</v>
      </c>
      <c r="F59" t="s">
        <v>61</v>
      </c>
    </row>
    <row r="60" spans="1:6" x14ac:dyDescent="0.35">
      <c r="A60">
        <f t="shared" si="0"/>
        <v>3.0000000000000022</v>
      </c>
      <c r="B60" s="3">
        <f>EXP(A60^2 + 7 * A60 - 30) - 1</f>
        <v>2.8421709430404007E-14</v>
      </c>
      <c r="C60">
        <v>2.6</v>
      </c>
      <c r="D60">
        <v>3.5</v>
      </c>
      <c r="E60" cm="1">
        <f t="array" ref="E60">find_root(A60,B60,C60,D60)</f>
        <v>3.0000000000000022</v>
      </c>
      <c r="F60" t="s">
        <v>62</v>
      </c>
    </row>
    <row r="61" spans="1:6" x14ac:dyDescent="0.35">
      <c r="A61">
        <f t="shared" si="0"/>
        <v>1.5574077246549003</v>
      </c>
      <c r="B61" s="3">
        <f>ATAN(A61) - 1</f>
        <v>0</v>
      </c>
      <c r="C61">
        <v>1</v>
      </c>
      <c r="D61">
        <v>8</v>
      </c>
      <c r="E61" cm="1">
        <f t="array" ref="E61">find_root(A61,B61,C61,D61)</f>
        <v>1.5574077246549003</v>
      </c>
      <c r="F61" t="s">
        <v>63</v>
      </c>
    </row>
    <row r="62" spans="1:6" x14ac:dyDescent="0.35">
      <c r="A62">
        <f t="shared" si="0"/>
        <v>1.2564312086261706</v>
      </c>
      <c r="B62" s="3">
        <f>EXP(A62) - 2 * A62 - 1</f>
        <v>0</v>
      </c>
      <c r="C62">
        <v>0.2</v>
      </c>
      <c r="D62">
        <v>3</v>
      </c>
      <c r="E62" cm="1">
        <f t="array" ref="E62">find_root(A62,B62,C62,D62)</f>
        <v>1.2564312086261706</v>
      </c>
      <c r="F62" t="s">
        <v>64</v>
      </c>
    </row>
    <row r="63" spans="1:6" x14ac:dyDescent="0.35">
      <c r="A63">
        <f t="shared" si="0"/>
        <v>0.35446310437502521</v>
      </c>
      <c r="B63" s="3">
        <f>EXP(-A63) - A63 - SIN(A63)</f>
        <v>0</v>
      </c>
      <c r="C63">
        <v>0</v>
      </c>
      <c r="D63">
        <v>2</v>
      </c>
      <c r="E63" cm="1">
        <f t="array" ref="E63">find_root(A63,B63,C63,D63)</f>
        <v>0.35446310437502521</v>
      </c>
      <c r="F63" t="s">
        <v>65</v>
      </c>
    </row>
    <row r="64" spans="1:6" x14ac:dyDescent="0.35">
      <c r="A64">
        <f t="shared" si="0"/>
        <v>1.4044916482153444</v>
      </c>
      <c r="B64" s="3">
        <f>A64^2 - SIN(A64)^2 - 1</f>
        <v>7.9936057773011271E-15</v>
      </c>
      <c r="C64">
        <v>-1</v>
      </c>
      <c r="D64">
        <v>2</v>
      </c>
      <c r="E64" cm="1">
        <f t="array" ref="E64">find_root(A64,B64,C64,D64)</f>
        <v>1.4044916482153444</v>
      </c>
      <c r="F64" t="s">
        <v>66</v>
      </c>
    </row>
    <row r="65" spans="1:6" x14ac:dyDescent="0.35">
      <c r="A65">
        <f t="shared" si="0"/>
        <v>1.8954942670339774</v>
      </c>
      <c r="B65" s="3">
        <f>SIN(A65) - A65 / 2</f>
        <v>2.886579864025407E-15</v>
      </c>
      <c r="C65">
        <f xml:space="preserve"> PI()/2</f>
        <v>1.5707963267948966</v>
      </c>
      <c r="D65">
        <f>PI()</f>
        <v>3.1415926535897931</v>
      </c>
      <c r="E65" cm="1">
        <f t="array" ref="E65">find_root(A65,B65,C65,D65)</f>
        <v>1.8954942670339774</v>
      </c>
      <c r="F65" t="s">
        <v>67</v>
      </c>
    </row>
    <row r="66" spans="1:6" x14ac:dyDescent="0.35">
      <c r="A66">
        <f t="shared" si="0"/>
        <v>0.56714329040978351</v>
      </c>
      <c r="B66" s="3">
        <f>A66 * EXP(A66) - 1</f>
        <v>-9.9920072216264089E-16</v>
      </c>
      <c r="C66">
        <v>-1</v>
      </c>
      <c r="D66">
        <v>1</v>
      </c>
      <c r="E66" cm="1">
        <f t="array" ref="E66">find_root(A66,B66,C66,D66)</f>
        <v>0.56714329040978351</v>
      </c>
      <c r="F66" t="s">
        <v>68</v>
      </c>
    </row>
    <row r="67" spans="1:6" x14ac:dyDescent="0.35">
      <c r="A67">
        <f t="shared" si="0"/>
        <v>0.10000000000000006</v>
      </c>
      <c r="B67" s="3">
        <f>TAN(A67 - 1/10)</f>
        <v>5.5511151231257827E-17</v>
      </c>
      <c r="C67">
        <v>-1</v>
      </c>
      <c r="D67">
        <v>1</v>
      </c>
      <c r="E67" cm="1">
        <f t="array" ref="E67">find_root(A67,B67,C67,D67)</f>
        <v>0.10000000000000006</v>
      </c>
      <c r="F67" t="s">
        <v>69</v>
      </c>
    </row>
    <row r="68" spans="1:6" x14ac:dyDescent="0.35">
      <c r="A68">
        <f t="shared" si="0"/>
        <v>-0.5235987755982987</v>
      </c>
      <c r="B68" s="3">
        <f>SIN(A68) + 0.5</f>
        <v>0</v>
      </c>
      <c r="C68">
        <v>-1</v>
      </c>
      <c r="D68">
        <v>1</v>
      </c>
      <c r="E68" cm="1">
        <f t="array" ref="E68">find_root(A68,B68,C68,D68)</f>
        <v>-0.5235987755982987</v>
      </c>
      <c r="F68" t="s">
        <v>70</v>
      </c>
    </row>
    <row r="69" spans="1:6" x14ac:dyDescent="0.35">
      <c r="A69">
        <f t="shared" si="0"/>
        <v>-0.84391456864926639</v>
      </c>
      <c r="B69" s="3">
        <f>4 * A69^5 + A69 * A69 + 1</f>
        <v>0</v>
      </c>
      <c r="C69">
        <v>-1</v>
      </c>
      <c r="D69">
        <v>1</v>
      </c>
      <c r="E69" cm="1">
        <f t="array" ref="E69">find_root(A69,B69,C69,D69)</f>
        <v>-0.84391456864926639</v>
      </c>
      <c r="F69" t="s">
        <v>71</v>
      </c>
    </row>
    <row r="70" spans="1:6" x14ac:dyDescent="0.35">
      <c r="A70">
        <f t="shared" ref="A70:A95" si="1">E70</f>
        <v>0.83507904272355904</v>
      </c>
      <c r="B70" s="3">
        <f>A70 + A70^10 - 1</f>
        <v>0</v>
      </c>
      <c r="C70">
        <v>-1</v>
      </c>
      <c r="D70">
        <v>1</v>
      </c>
      <c r="E70" cm="1">
        <f t="array" ref="E70">find_root(A70,B70,C70,D70)</f>
        <v>0.83507904272355904</v>
      </c>
      <c r="F70" t="s">
        <v>72</v>
      </c>
    </row>
    <row r="71" spans="1:6" x14ac:dyDescent="0.35">
      <c r="A71">
        <f t="shared" si="1"/>
        <v>0.87356852683023178</v>
      </c>
      <c r="B71" s="3">
        <f>PI()^A71 - EXP(1)</f>
        <v>0</v>
      </c>
      <c r="C71">
        <v>-1</v>
      </c>
      <c r="D71">
        <v>1</v>
      </c>
      <c r="E71" cm="1">
        <f t="array" ref="E71">find_root(A71,B71,C71,D71)</f>
        <v>0.87356852683023178</v>
      </c>
      <c r="F71" t="s">
        <v>73</v>
      </c>
    </row>
    <row r="72" spans="1:6" x14ac:dyDescent="0.35">
      <c r="A72">
        <f t="shared" si="1"/>
        <v>0.11111111111111131</v>
      </c>
      <c r="B72" s="3">
        <f>LN(ABS(A72 - 10/9))</f>
        <v>-1.1102230246251565E-16</v>
      </c>
      <c r="C72">
        <v>-1</v>
      </c>
      <c r="D72">
        <v>1</v>
      </c>
      <c r="E72" cm="1">
        <f t="array" ref="E72">find_root(A72,B72,C72,D72)</f>
        <v>0.11111111111111131</v>
      </c>
      <c r="F72" t="s">
        <v>74</v>
      </c>
    </row>
    <row r="73" spans="1:6" x14ac:dyDescent="0.35">
      <c r="A73">
        <f t="shared" si="1"/>
        <v>-3.7020127707860936E-2</v>
      </c>
      <c r="B73" s="3">
        <f>1/3 + SIGN(A73) * ABS(A73)^(1/3) + A73^3</f>
        <v>-5.6988376691269327E-17</v>
      </c>
      <c r="C73">
        <v>-1</v>
      </c>
      <c r="D73">
        <v>1</v>
      </c>
      <c r="E73" cm="1">
        <f t="array" ref="E73">find_root(A73,B73,C73,D73)</f>
        <v>-3.7020127707860936E-2</v>
      </c>
      <c r="F73" t="s">
        <v>75</v>
      </c>
    </row>
    <row r="74" spans="1:6" x14ac:dyDescent="0.35">
      <c r="A74">
        <f t="shared" si="1"/>
        <v>-0.66666666666666663</v>
      </c>
      <c r="B74" s="3">
        <f>(A74 + 2/3) / (A74 + 101/100)</f>
        <v>0</v>
      </c>
      <c r="C74">
        <v>-1</v>
      </c>
      <c r="D74">
        <v>1</v>
      </c>
      <c r="E74" cm="1">
        <f t="array" ref="E74">find_root(A74,B74,C74,D74)</f>
        <v>-0.66666666666666663</v>
      </c>
      <c r="F74" t="s">
        <v>76</v>
      </c>
    </row>
    <row r="75" spans="1:6" x14ac:dyDescent="0.35">
      <c r="A75">
        <f t="shared" si="1"/>
        <v>1.0000000010279564E-6</v>
      </c>
      <c r="B75" s="3">
        <f>(A75 * 1000000 - 1)^3</f>
        <v>1.0862356882861329E-27</v>
      </c>
      <c r="C75">
        <v>-1</v>
      </c>
      <c r="D75">
        <v>1</v>
      </c>
      <c r="E75" cm="1">
        <f t="array" ref="E75">find_root(A75,B75,C75,D75)</f>
        <v>1.0000000010279564E-6</v>
      </c>
      <c r="F75" t="s">
        <v>77</v>
      </c>
    </row>
    <row r="76" spans="1:6" x14ac:dyDescent="0.35">
      <c r="A76">
        <f t="shared" si="1"/>
        <v>1.0000000010279564E-6</v>
      </c>
      <c r="B76" s="3">
        <f>EXP(A76) * (A76 * 1000000 - 1)^3</f>
        <v>1.0862367745223654E-27</v>
      </c>
      <c r="C76">
        <v>-1</v>
      </c>
      <c r="D76">
        <v>1</v>
      </c>
      <c r="E76" cm="1">
        <f t="array" ref="E76">find_root(A76,B76,C76,D76)</f>
        <v>1.0000000010279564E-6</v>
      </c>
      <c r="F76" t="s">
        <v>78</v>
      </c>
    </row>
    <row r="77" spans="1:6" x14ac:dyDescent="0.35">
      <c r="A77">
        <f t="shared" si="1"/>
        <v>0.33333333333333215</v>
      </c>
      <c r="B77" s="3">
        <f>(A77 - 1/3)^2 * ATAN(A77 - 1/3)</f>
        <v>-1.5841583347304847E-45</v>
      </c>
      <c r="C77">
        <v>-1</v>
      </c>
      <c r="D77">
        <v>1</v>
      </c>
      <c r="E77" cm="1">
        <f t="array" ref="E77">find_root(A77,B77,C77,D77)</f>
        <v>0.33333333333333215</v>
      </c>
      <c r="F77" t="s">
        <v>79</v>
      </c>
    </row>
    <row r="78" spans="1:6" x14ac:dyDescent="0.35">
      <c r="A78">
        <f t="shared" si="1"/>
        <v>0.33333331346511841</v>
      </c>
      <c r="B78" s="3">
        <f>SIGN(3 * A78 - 1) * (1 - SQRT(1 - (3 * A78 - 1)^2 / 81))</f>
        <v>0</v>
      </c>
      <c r="C78">
        <v>-1</v>
      </c>
      <c r="D78">
        <v>1</v>
      </c>
      <c r="E78" cm="1">
        <f t="array" ref="E78">find_root(A78,B78,C78,D78)</f>
        <v>0.33333331346511841</v>
      </c>
      <c r="F78" t="s">
        <v>80</v>
      </c>
    </row>
    <row r="79" spans="1:6" x14ac:dyDescent="0.35">
      <c r="A79">
        <f t="shared" si="1"/>
        <v>-0.99999900000000019</v>
      </c>
      <c r="B79" s="3">
        <f>IF(A79 &gt; (1 - 1000000) / 1000000, (1 + 1000000) / 1000000, -1)</f>
        <v>-1</v>
      </c>
      <c r="C79">
        <v>-1</v>
      </c>
      <c r="D79">
        <v>1</v>
      </c>
      <c r="E79" cm="1">
        <f t="array" ref="E79">find_root(A79,B79,C79,D79)</f>
        <v>-0.99999900000000019</v>
      </c>
      <c r="F79" t="s">
        <v>81</v>
      </c>
    </row>
    <row r="80" spans="1:6" x14ac:dyDescent="0.35">
      <c r="A80">
        <f t="shared" si="1"/>
        <v>4.761904761904745E-2</v>
      </c>
      <c r="B80" s="3">
        <f>IF(A80 &lt;&gt; 1/21, 1 / (21 * A80 - 1), 0)</f>
        <v>-281474976710656</v>
      </c>
      <c r="C80">
        <v>-1</v>
      </c>
      <c r="D80">
        <v>1</v>
      </c>
      <c r="E80" cm="1">
        <f t="array" ref="E80">find_root(A80,B80,C80,D80)</f>
        <v>4.761904761904745E-2</v>
      </c>
      <c r="F80" t="s">
        <v>82</v>
      </c>
    </row>
    <row r="81" spans="1:6" x14ac:dyDescent="0.35">
      <c r="A81">
        <f t="shared" si="1"/>
        <v>9.6573314713290186E-43</v>
      </c>
      <c r="B81" s="3">
        <f>A81 * A81 / 4 + CEILING(A81 / 2, 1) - 0.5</f>
        <v>0.5</v>
      </c>
      <c r="C81">
        <v>-1</v>
      </c>
      <c r="D81">
        <v>1</v>
      </c>
      <c r="E81" cm="1">
        <f t="array" ref="E81">find_root(A81,B81,C81,D81)</f>
        <v>9.6573314713290186E-43</v>
      </c>
      <c r="F81" t="s">
        <v>83</v>
      </c>
    </row>
    <row r="82" spans="1:6" x14ac:dyDescent="0.35">
      <c r="A82">
        <f t="shared" si="1"/>
        <v>2.9131708668474793E-19</v>
      </c>
      <c r="B82" s="3">
        <f>CEILING(10 * A82 - 1, 1) + 0.5</f>
        <v>-0.5</v>
      </c>
      <c r="C82">
        <v>-1</v>
      </c>
      <c r="D82">
        <v>1</v>
      </c>
      <c r="E82" cm="1">
        <f t="array" ref="E82">find_root(A82,B82,C82,D82)</f>
        <v>2.9131708668474793E-19</v>
      </c>
      <c r="F82" t="s">
        <v>84</v>
      </c>
    </row>
    <row r="83" spans="1:6" x14ac:dyDescent="0.35">
      <c r="A83">
        <f t="shared" si="1"/>
        <v>-5.0195853081145624E-2</v>
      </c>
      <c r="B83" s="3">
        <f>A83 + SIN(A83 * 1000000) / 10 + 0.001</f>
        <v>2.6962381979855898E-12</v>
      </c>
      <c r="C83">
        <v>-1</v>
      </c>
      <c r="D83">
        <v>1</v>
      </c>
      <c r="E83" cm="1">
        <f t="array" ref="E83">find_root(A83,B83,C83,D83)</f>
        <v>-5.0195853081145624E-2</v>
      </c>
      <c r="F83" t="s">
        <v>85</v>
      </c>
    </row>
    <row r="84" spans="1:6" x14ac:dyDescent="0.35">
      <c r="A84">
        <f t="shared" si="1"/>
        <v>-1</v>
      </c>
      <c r="B84" s="3">
        <f>IF(A84 &gt; -1, 1 + SIN(1 / (A84 + 1)), -1)</f>
        <v>-1</v>
      </c>
      <c r="C84">
        <v>-1</v>
      </c>
      <c r="D84">
        <v>1</v>
      </c>
      <c r="E84" cm="1">
        <f t="array" ref="E84">find_root(A84,B84,C84,D84)</f>
        <v>-1</v>
      </c>
      <c r="F84" t="s">
        <v>86</v>
      </c>
    </row>
    <row r="85" spans="1:6" x14ac:dyDescent="0.35">
      <c r="A85">
        <f t="shared" si="1"/>
        <v>4.9999999999999996E-2</v>
      </c>
      <c r="B85" s="3">
        <f>202 * A85 - 2 * FLOOR((2 * A85 + 0.01) / 0.02, 1) - 0.1</f>
        <v>-3.6082248300317588E-16</v>
      </c>
      <c r="C85">
        <v>-1</v>
      </c>
      <c r="D85">
        <v>1</v>
      </c>
      <c r="E85" cm="1">
        <f t="array" ref="E85">find_root(A85,B85,C85,D85)</f>
        <v>4.9999999999999996E-2</v>
      </c>
      <c r="F85" t="s">
        <v>87</v>
      </c>
    </row>
    <row r="86" spans="1:6" x14ac:dyDescent="0.35">
      <c r="A86">
        <f t="shared" si="1"/>
        <v>0.19851485148514669</v>
      </c>
      <c r="B86" s="3">
        <f>(202 * A86 - 2 * FLOOR((2 * A86 + 0.01) / 0.02, 1) - 0.1)^3</f>
        <v>-4.9863130474315298E-38</v>
      </c>
      <c r="C86">
        <v>-1</v>
      </c>
      <c r="D86">
        <v>1</v>
      </c>
      <c r="E86" cm="1">
        <f t="array" ref="E86">find_root(A86,B86,C86,D86)</f>
        <v>0.19851485148514669</v>
      </c>
      <c r="F86" t="s">
        <v>88</v>
      </c>
    </row>
    <row r="87" spans="1:6" x14ac:dyDescent="0.35">
      <c r="A87">
        <f t="shared" si="1"/>
        <v>3.0125024427614657</v>
      </c>
      <c r="B87" s="3">
        <f>(A87 - 1) * (A87 - 2) * (A87 - 3) * (A87 - 4) * (A87 - 5) - 0.05</f>
        <v>-4.0939474033052647E-15</v>
      </c>
      <c r="C87">
        <v>0.5</v>
      </c>
      <c r="D87">
        <v>5.5</v>
      </c>
      <c r="E87" cm="1">
        <f t="array" ref="E87">find_root(A87,B87,C87,D87)</f>
        <v>3.0125024427614657</v>
      </c>
      <c r="F87" t="s">
        <v>89</v>
      </c>
    </row>
    <row r="88" spans="1:6" x14ac:dyDescent="0.35">
      <c r="A88">
        <f t="shared" si="1"/>
        <v>-2.2077831448869336</v>
      </c>
      <c r="B88" s="3">
        <f>SIN(A88) - 0.5 * A88 - 0.3</f>
        <v>2.0539125955565396E-15</v>
      </c>
      <c r="C88">
        <v>-10</v>
      </c>
      <c r="D88">
        <v>10</v>
      </c>
      <c r="E88" cm="1">
        <f t="array" ref="E88">find_root(A88,B88,C88,D88)</f>
        <v>-2.2077831448869336</v>
      </c>
      <c r="F88" t="s">
        <v>90</v>
      </c>
    </row>
    <row r="89" spans="1:6" x14ac:dyDescent="0.35">
      <c r="A89">
        <f t="shared" si="1"/>
        <v>0.30280415727069726</v>
      </c>
      <c r="B89" s="3">
        <f>EXP(A89) - 1 - A89 - A89 * A89 / 2 - 0.005</f>
        <v>3.2092384305570931E-17</v>
      </c>
      <c r="C89">
        <v>-2</v>
      </c>
      <c r="D89">
        <v>2</v>
      </c>
      <c r="E89" cm="1">
        <f t="array" ref="E89">find_root(A89,B89,C89,D89)</f>
        <v>0.30280415727069726</v>
      </c>
      <c r="F89" t="s">
        <v>91</v>
      </c>
    </row>
    <row r="90" spans="1:6" x14ac:dyDescent="0.35">
      <c r="A90">
        <f t="shared" si="1"/>
        <v>0.9878048780487807</v>
      </c>
      <c r="B90" s="3">
        <f>1 / (A90 - 0.5) - 2 - 0.05</f>
        <v>-1.0685896612017132E-15</v>
      </c>
      <c r="C90">
        <v>0.6</v>
      </c>
      <c r="D90">
        <v>2</v>
      </c>
      <c r="E90" cm="1">
        <f t="array" ref="E90">find_root(A90,B90,C90,D90)</f>
        <v>0.9878048780487807</v>
      </c>
      <c r="F90" t="s">
        <v>92</v>
      </c>
    </row>
    <row r="91" spans="1:6" x14ac:dyDescent="0.35">
      <c r="A91">
        <f t="shared" si="1"/>
        <v>0.16836217326253666</v>
      </c>
      <c r="B91" s="3">
        <f>LN(A91) - A91 + 2 - 0.05</f>
        <v>-1.0685896612017132E-15</v>
      </c>
      <c r="C91">
        <v>0.1</v>
      </c>
      <c r="D91">
        <v>3</v>
      </c>
      <c r="E91" cm="1">
        <f t="array" ref="E91">find_root(A91,B91,C91,D91)</f>
        <v>0.16836217326253666</v>
      </c>
      <c r="F91" t="s">
        <v>93</v>
      </c>
    </row>
    <row r="92" spans="1:6" x14ac:dyDescent="0.35">
      <c r="A92">
        <f t="shared" si="1"/>
        <v>-1.7417626112164157</v>
      </c>
      <c r="B92" s="3">
        <f>SIN(20 * A92) + 0.1 * A92 - 0.1</f>
        <v>4.1910919179599659E-15</v>
      </c>
      <c r="C92">
        <v>-4</v>
      </c>
      <c r="D92">
        <v>5</v>
      </c>
      <c r="E92" cm="1">
        <f t="array" ref="E92">find_root(A92,B92,C92,D92)</f>
        <v>-1.7417626112164157</v>
      </c>
      <c r="F92" t="s">
        <v>94</v>
      </c>
    </row>
    <row r="93" spans="1:6" x14ac:dyDescent="0.35">
      <c r="A93">
        <f t="shared" si="1"/>
        <v>2.6372695414430037E-2</v>
      </c>
      <c r="B93" s="3">
        <f>A93^3 - 2 * A93^2 + A93 - 0.025</f>
        <v>0</v>
      </c>
      <c r="C93">
        <v>-1</v>
      </c>
      <c r="D93">
        <v>2</v>
      </c>
      <c r="E93" cm="1">
        <f t="array" ref="E93">find_root(A93,B93,C93,D93)</f>
        <v>2.6372695414430037E-2</v>
      </c>
      <c r="F93" t="s">
        <v>95</v>
      </c>
    </row>
    <row r="94" spans="1:6" x14ac:dyDescent="0.35">
      <c r="A94">
        <f t="shared" si="1"/>
        <v>0.12077801181192635</v>
      </c>
      <c r="B94" s="3">
        <f>A94 * SIN(1 / A94) - 0.1 - 0.01</f>
        <v>4.1112946380650328E-16</v>
      </c>
      <c r="C94">
        <v>0.01</v>
      </c>
      <c r="D94">
        <v>1</v>
      </c>
      <c r="E94" cm="1">
        <f t="array" ref="E94">find_root(A94,B94,C94,D94)</f>
        <v>0.12077801181192635</v>
      </c>
      <c r="F94" t="s">
        <v>96</v>
      </c>
    </row>
    <row r="95" spans="1:6" x14ac:dyDescent="0.35">
      <c r="A95">
        <f t="shared" si="1"/>
        <v>0.1</v>
      </c>
      <c r="B95" s="3">
        <f>A95^3 - 0.001</f>
        <v>0</v>
      </c>
      <c r="C95">
        <v>-10</v>
      </c>
      <c r="D95">
        <v>10</v>
      </c>
      <c r="E95" cm="1">
        <f t="array" ref="E95">find_root(A95,B95,C95,D95)</f>
        <v>0.1</v>
      </c>
      <c r="F95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Неделчо Ганчовски</dc:creator>
  <cp:lastModifiedBy>Неделчо Ганчовски</cp:lastModifiedBy>
  <dcterms:created xsi:type="dcterms:W3CDTF">2026-05-09T16:58:28Z</dcterms:created>
  <dcterms:modified xsi:type="dcterms:W3CDTF">2026-07-08T15:24:57Z</dcterms:modified>
</cp:coreProperties>
</file>